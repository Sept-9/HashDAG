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f3cf80458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507fd80aa2964029"/>
    <x:sheet xmlns:r="http://schemas.openxmlformats.org/officeDocument/2006/relationships" name="Performance Summary" sheetId="2" r:id="R74594fa3de4541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x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8486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63A56"/>
      </x:patternFill>
    </x:fill>
    <x:fill>
      <x:patternFill patternType="solid">
        <x:fgColor rgb="FFE8EEF5"/>
      </x:patternFill>
    </x:fill>
    <x:fill>
      <x:patternFill patternType="solid">
        <x:fgColor rgb="FF3E5978"/>
      </x:patternFill>
    </x:fill>
    <x:fill>
      <x:patternFill patternType="solid">
        <x:fgColor rgb="FFF2F6FA"/>
      </x:patternFill>
    </x:fill>
    <x:fill>
      <x:patternFill patternType="solid">
        <x:fgColor rgb="FF566B84"/>
      </x:patternFill>
    </x:fill>
  </x:fills>
  <x:borders count="14">
    <x:border/>
    <x:border/>
    <x:border>
      <x:left style="thin">
        <x:color rgb="FFCAD2DC"/>
      </x:left>
      <x:top style="thin">
        <x:color rgb="FFCAD2DC"/>
      </x:top>
      <x:bottom style="thin">
        <x:color rgb="FFCAD2DC"/>
      </x:bottom>
    </x:border>
    <x:border>
      <x:top style="thin">
        <x:color rgb="FFCAD2DC"/>
      </x:top>
      <x:bottom style="thin">
        <x:color rgb="FFCAD2DC"/>
      </x:bottom>
    </x:border>
    <x:border>
      <x:right style="thin">
        <x:color rgb="FFCAD2DC"/>
      </x:right>
      <x:top style="thin">
        <x:color rgb="FFCAD2DC"/>
      </x:top>
      <x:bottom style="thin">
        <x:color rgb="FFCAD2DC"/>
      </x:bottom>
    </x:border>
    <x:border>
      <x:left style="thin">
        <x:color rgb="FFCAD2DC"/>
      </x:left>
      <x:top style="thin">
        <x:color rgb="FFCAD2DC"/>
      </x:top>
      <x:bottom style="thin">
        <x:color rgb="FFCAD2DC"/>
      </x:bottom>
    </x:border>
    <x:border>
      <x:top style="thin">
        <x:color rgb="FFCAD2DC"/>
      </x:top>
      <x:bottom style="thin">
        <x:color rgb="FFCAD2DC"/>
      </x:bottom>
    </x:border>
    <x:border>
      <x:right style="thin">
        <x:color rgb="FFCAD2DC"/>
      </x:right>
      <x:top style="thin">
        <x:color rgb="FFCAD2DC"/>
      </x:top>
      <x:bottom style="thin">
        <x:color rgb="FFCAD2DC"/>
      </x:bottom>
    </x:border>
    <x:border>
      <x:bottom style="thin">
        <x:color rgb="FFD8DEE6"/>
      </x:bottom>
    </x:border>
    <x:border>
      <x:top style="thin">
        <x:color rgb="FFD8DEE6"/>
      </x:top>
      <x:bottom style="thin">
        <x:color rgb="FFD8DEE6"/>
      </x:bottom>
    </x:border>
    <x:border>
      <x:top style="thin">
        <x:color rgb="FFD8DEE6"/>
      </x:top>
      <x:bottom style="thin">
        <x:color rgb="FFAAB5C2"/>
      </x:bottom>
    </x:border>
    <x:border>
      <x:bottom style="thin">
        <x:color rgb="FFD8DEE6"/>
      </x:bottom>
    </x:border>
    <x:border>
      <x:top style="thin">
        <x:color rgb="FFD8DEE6"/>
      </x:top>
      <x:bottom style="thin">
        <x:color rgb="FFD8DEE6"/>
      </x:bottom>
    </x:border>
    <x:border>
      <x:top style="thin">
        <x:color rgb="FFD8DEE6"/>
      </x:top>
      <x:bottom style="thin">
        <x:color rgb="FFAAB5C2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3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horizontal="left" vertical="center"/>
    </x:xf>
    <x:xf numFmtId="0" fontId="0" fillId="5" borderId="9" xfId="0" applyNumberFormat="1" applyFont="1" applyFill="1" applyBorder="1" applyAlignment="1">
      <x:alignment horizontal="left" vertical="center"/>
    </x:xf>
    <x:xf numFmtId="0" fontId="0" fillId="0" borderId="9" xfId="0" applyNumberFormat="1" applyFont="1" applyFill="1" applyBorder="1" applyAlignment="1">
      <x:alignment horizontal="left" vertical="center"/>
    </x:xf>
    <x:xf numFmtId="0" fontId="0" fillId="5" borderId="10" xfId="0" applyNumberFormat="1" applyFont="1" applyFill="1" applyBorder="1" applyAlignment="1">
      <x:alignment horizontal="left" vertical="center"/>
    </x:xf>
    <x:xf numFmtId="0" fontId="0" fillId="0" borderId="11" xfId="0" applyNumberFormat="1" applyFont="1" applyFill="1" applyBorder="1" applyAlignment="1">
      <x:alignment horizontal="left" vertical="center"/>
    </x:xf>
    <x:xf numFmtId="0" fontId="0" fillId="5" borderId="12" xfId="0" applyNumberFormat="1" applyFont="1" applyFill="1" applyBorder="1" applyAlignment="1">
      <x:alignment horizontal="left" vertical="center"/>
    </x:xf>
    <x:xf numFmtId="0" fontId="0" fillId="0" borderId="12" xfId="0" applyNumberFormat="1" applyFont="1" applyFill="1" applyBorder="1" applyAlignment="1">
      <x:alignment horizontal="left" vertical="center"/>
    </x:xf>
    <x:xf numFmtId="0" fontId="0" fillId="5" borderId="13" xfId="0" applyNumberFormat="1" applyFont="1" applyFill="1" applyBorder="1" applyAlignment="1">
      <x:alignment horizontal="left" vertical="center"/>
    </x:xf>
    <x:xf numFmtId="0" fontId="0" fillId="0" borderId="8" xfId="0" applyNumberFormat="1" applyFont="1" applyFill="1" applyBorder="1" applyAlignment="1">
      <x:alignment horizontal="right" vertical="center"/>
    </x:xf>
    <x:xf numFmtId="0" fontId="0" fillId="5" borderId="9" xfId="0" applyNumberFormat="1" applyFont="1" applyFill="1" applyBorder="1" applyAlignment="1">
      <x:alignment horizontal="right" vertical="center"/>
    </x:xf>
    <x:xf numFmtId="0" fontId="0" fillId="0" borderId="9" xfId="0" applyNumberFormat="1" applyFont="1" applyFill="1" applyBorder="1" applyAlignment="1">
      <x:alignment horizontal="right" vertical="center"/>
    </x:xf>
    <x:xf numFmtId="0" fontId="0" fillId="5" borderId="10" xfId="0" applyNumberFormat="1" applyFont="1" applyFill="1" applyBorder="1" applyAlignment="1">
      <x:alignment horizontal="right" vertical="center"/>
    </x:xf>
    <x:xf numFmtId="0" fontId="0" fillId="0" borderId="11" xfId="0" applyNumberFormat="1" applyFont="1" applyFill="1" applyBorder="1" applyAlignment="1">
      <x:alignment horizontal="right" vertical="center"/>
    </x:xf>
    <x:xf numFmtId="0" fontId="0" fillId="5" borderId="12" xfId="0" applyNumberFormat="1" applyFont="1" applyFill="1" applyBorder="1" applyAlignment="1">
      <x:alignment horizontal="right" vertical="center"/>
    </x:xf>
    <x:xf numFmtId="0" fontId="0" fillId="0" borderId="12" xfId="0" applyNumberFormat="1" applyFont="1" applyFill="1" applyBorder="1" applyAlignment="1">
      <x:alignment horizontal="right" vertical="center"/>
    </x:xf>
    <x:xf numFmtId="0" fontId="0" fillId="5" borderId="13" xfId="0" applyNumberFormat="1" applyFont="1" applyFill="1" applyBorder="1" applyAlignment="1">
      <x:alignment horizontal="right" vertical="center"/>
    </x:xf>
    <x:xf numFmtId="200" fontId="0" fillId="0" borderId="8" xfId="0" applyNumberFormat="1" applyFont="1" applyFill="1" applyBorder="1" applyAlignment="1">
      <x:alignment horizontal="right" vertical="center"/>
    </x:xf>
    <x:xf numFmtId="200" fontId="0" fillId="5" borderId="9" xfId="0" applyNumberFormat="1" applyFont="1" applyFill="1" applyBorder="1" applyAlignment="1">
      <x:alignment horizontal="right" vertical="center"/>
    </x:xf>
    <x:xf numFmtId="200" fontId="0" fillId="0" borderId="9" xfId="0" applyNumberFormat="1" applyFont="1" applyFill="1" applyBorder="1" applyAlignment="1">
      <x:alignment horizontal="right" vertical="center"/>
    </x:xf>
    <x:xf numFmtId="200" fontId="0" fillId="5" borderId="10" xfId="0" applyNumberFormat="1" applyFont="1" applyFill="1" applyBorder="1" applyAlignment="1">
      <x:alignment horizontal="right" vertical="center"/>
    </x:xf>
    <x:xf numFmtId="200" fontId="0" fillId="0" borderId="11" xfId="0" applyNumberFormat="1" applyFont="1" applyFill="1" applyBorder="1" applyAlignment="1">
      <x:alignment horizontal="right" vertical="center"/>
    </x:xf>
    <x:xf numFmtId="200" fontId="0" fillId="5" borderId="12" xfId="0" applyNumberFormat="1" applyFont="1" applyFill="1" applyBorder="1" applyAlignment="1">
      <x:alignment horizontal="right" vertical="center"/>
    </x:xf>
    <x:xf numFmtId="200" fontId="0" fillId="0" borderId="12" xfId="0" applyNumberFormat="1" applyFont="1" applyFill="1" applyBorder="1" applyAlignment="1">
      <x:alignment horizontal="right" vertical="center"/>
    </x:xf>
    <x:xf numFmtId="200" fontId="0" fillId="5" borderId="13" xfId="0" applyNumberFormat="1" applyFont="1" applyFill="1" applyBorder="1" applyAlignment="1">
      <x:alignment horizontal="right" vertical="center"/>
    </x:xf>
    <x:xf numFmtId="201" fontId="0" fillId="0" borderId="8" xfId="0" applyNumberFormat="1" applyFont="1" applyFill="1" applyBorder="1" applyAlignment="1">
      <x:alignment horizontal="right" vertical="center"/>
    </x:xf>
    <x:xf numFmtId="201" fontId="0" fillId="5" borderId="9" xfId="0" applyNumberFormat="1" applyFont="1" applyFill="1" applyBorder="1" applyAlignment="1">
      <x:alignment horizontal="right" vertical="center"/>
    </x:xf>
    <x:xf numFmtId="201" fontId="0" fillId="0" borderId="9" xfId="0" applyNumberFormat="1" applyFont="1" applyFill="1" applyBorder="1" applyAlignment="1">
      <x:alignment horizontal="right" vertical="center"/>
    </x:xf>
    <x:xf numFmtId="201" fontId="0" fillId="5" borderId="10" xfId="0" applyNumberFormat="1" applyFont="1" applyFill="1" applyBorder="1" applyAlignment="1">
      <x:alignment horizontal="right" vertical="center"/>
    </x:xf>
    <x:xf numFmtId="201" fontId="0" fillId="0" borderId="11" xfId="0" applyNumberFormat="1" applyFont="1" applyFill="1" applyBorder="1" applyAlignment="1">
      <x:alignment horizontal="right" vertical="center"/>
    </x:xf>
    <x:xf numFmtId="201" fontId="0" fillId="5" borderId="12" xfId="0" applyNumberFormat="1" applyFont="1" applyFill="1" applyBorder="1" applyAlignment="1">
      <x:alignment horizontal="right" vertical="center"/>
    </x:xf>
    <x:xf numFmtId="201" fontId="0" fillId="0" borderId="12" xfId="0" applyNumberFormat="1" applyFont="1" applyFill="1" applyBorder="1" applyAlignment="1">
      <x:alignment horizontal="right" vertical="center"/>
    </x:xf>
    <x:xf numFmtId="201" fontId="0" fillId="5" borderId="13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9e3c89d374c3c" /><Relationship Type="http://schemas.openxmlformats.org/officeDocument/2006/relationships/theme" Target="/xl/theme/theme1.xml" Id="Rbf1b816837d94f4e" /><Relationship Type="http://schemas.openxmlformats.org/officeDocument/2006/relationships/sharedStrings" Target="/xl/sharedStrings.xml" Id="R5ed91705898145e8" /><Relationship Type="http://schemas.openxmlformats.org/officeDocument/2006/relationships/worksheet" Target="/xl/worksheets/sheet1.xml" Id="R507fd80aa2964029" /><Relationship Type="http://schemas.openxmlformats.org/officeDocument/2006/relationships/worksheet" Target="/xl/worksheets/sheet2.xml" Id="R74594fa3de4541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98" t="str">
        <x:v>configuration</x:v>
      </x:c>
      <x:c r="B1" s="98" t="str">
        <x:v>frames</x:v>
      </x:c>
      <x:c r="C1" s="98" t="str">
        <x:v>mean_frame_time_ms</x:v>
      </x:c>
      <x:c r="D1" s="98" t="str">
        <x:v>mean_speedup_x</x:v>
      </x:c>
      <x:c r="E1" s="98" t="str">
        <x:v>max_speedup_in_particular_frame_x</x:v>
      </x:c>
    </x:row>
    <x:row r="2">
      <x:c r="A2" t="str">
        <x:v>Original HashDAG</x:v>
      </x:c>
      <x:c r="B2" t="n">
        <x:v>998</x:v>
      </x:c>
      <x:c r="C2" t="n">
        <x:v>11.69429255511022</x:v>
      </x:c>
      <x:c r="D2" t="n">
        <x:v>1</x:v>
      </x:c>
      <x:c r="E2" t="n">
        <x:v>1</x:v>
      </x:c>
    </x:row>
    <x:row r="3">
      <x:c r="A3" t="str">
        <x:v>Box LOD</x:v>
      </x:c>
      <x:c r="B3" t="n">
        <x:v>998</x:v>
      </x:c>
      <x:c r="C3" t="n">
        <x:v>9.31435993987976</x:v>
      </x:c>
      <x:c r="D3" t="n">
        <x:v>1.255512201653352</x:v>
      </x:c>
      <x:c r="E3" t="n">
        <x:v>1.8043137826174045</x:v>
      </x:c>
    </x:row>
    <x:row r="4">
      <x:c r="A4" t="str">
        <x:v>Relief LOD</x:v>
      </x:c>
      <x:c r="B4" t="n">
        <x:v>998</x:v>
      </x:c>
      <x:c r="C4" t="n">
        <x:v>9.377822094188376</x:v>
      </x:c>
      <x:c r="D4" t="n">
        <x:v>1.247015824959764</x:v>
      </x:c>
      <x:c r="E4" t="n">
        <x:v>1.7200773665048543</x:v>
      </x:c>
    </x:row>
    <x:row r="5">
      <x:c r="A5" t="str">
        <x:v>Complete method</x:v>
      </x:c>
      <x:c r="B5" t="n">
        <x:v>998</x:v>
      </x:c>
      <x:c r="C5" t="n">
        <x:v>10.362680410821644</x:v>
      </x:c>
      <x:c r="D5" t="n">
        <x:v>1.128500744160554</x:v>
      </x:c>
      <x:c r="E5" t="n">
        <x:v>1.4091409225560727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4" hidden="0" customWidth="1"/>
    <x:col min="4" max="4" width="29" hidden="0" customWidth="1"/>
  </x:cols>
  <x:sheetData>
    <x:row r="1" ht="30" customHeight="1">
      <x:c r="A1" s="8" t="str">
        <x:v>Epic Citadel 128k — LOD Performance Summary</x:v>
      </x:c>
      <x:c r="B1" s="8"/>
      <x:c r="C1" s="8"/>
      <x:c r="D1" s="8"/>
    </x:row>
    <x:row r="2" ht="25" customHeight="1">
      <x:c r="A2" s="16" t="str">
        <x:v>Maximum-frame comparison selects the aligned frame with the largest Original / Method ratio.</x:v>
      </x:c>
      <x:c r="B2" s="16"/>
      <x:c r="C2" s="16"/>
      <x:c r="D2" s="16"/>
    </x:row>
    <x:row r="4" ht="38" customHeight="1">
      <x:c r="A4" s="40" t="str">
        <x:v>Configuration</x:v>
      </x:c>
      <x:c r="B4" s="41" t="str">
        <x:v>Mean frame time (ms)</x:v>
      </x:c>
      <x:c r="C4" s="41" t="str">
        <x:v>Mean speedup</x:v>
      </x:c>
      <x:c r="D4" s="42" t="str">
        <x:v>Max speedup in particular frame</x:v>
      </x:c>
    </x:row>
    <x:row r="5" ht="23" customHeight="1">
      <x:c r="A5" s="62" t="str">
        <x:f>'Raw Data'!A2</x:f>
        <x:v>Original HashDAG</x:v>
      </x:c>
      <x:c r="B5" s="78" t="n">
        <x:f>'Raw Data'!C2</x:f>
        <x:v>11.69429255511022</x:v>
      </x:c>
      <x:c r="C5" s="86" t="n">
        <x:f>1</x:f>
        <x:v>1</x:v>
      </x:c>
      <x:c r="D5" s="86" t="n">
        <x:f>'Raw Data'!E2</x:f>
        <x:v>1</x:v>
      </x:c>
    </x:row>
    <x:row r="6" ht="23" customHeight="1">
      <x:c r="A6" s="63" t="str">
        <x:f>'Raw Data'!A3</x:f>
        <x:v>Box LOD</x:v>
      </x:c>
      <x:c r="B6" s="79" t="n">
        <x:f>'Raw Data'!C3</x:f>
        <x:v>9.31435993987976</x:v>
      </x:c>
      <x:c r="C6" s="87" t="n">
        <x:f>$B$5/B6</x:f>
        <x:v>1.255512201653352</x:v>
      </x:c>
      <x:c r="D6" s="87" t="n">
        <x:f>'Raw Data'!E3</x:f>
        <x:v>1.8043137826174045</x:v>
      </x:c>
    </x:row>
    <x:row r="7" ht="23" customHeight="1">
      <x:c r="A7" s="64" t="str">
        <x:f>'Raw Data'!A4</x:f>
        <x:v>Relief LOD</x:v>
      </x:c>
      <x:c r="B7" s="80" t="n">
        <x:f>'Raw Data'!C4</x:f>
        <x:v>9.377822094188376</x:v>
      </x:c>
      <x:c r="C7" s="88" t="n">
        <x:f>$B$5/B7</x:f>
        <x:v>1.247015824959764</x:v>
      </x:c>
      <x:c r="D7" s="88" t="n">
        <x:f>'Raw Data'!E4</x:f>
        <x:v>1.7200773665048543</x:v>
      </x:c>
    </x:row>
    <x:row r="8" ht="23" customHeight="1">
      <x:c r="A8" s="65" t="str">
        <x:f>'Raw Data'!A5</x:f>
        <x:v>Complete method</x:v>
      </x:c>
      <x:c r="B8" s="81" t="n">
        <x:f>'Raw Data'!C5</x:f>
        <x:v>10.362680410821644</x:v>
      </x:c>
      <x:c r="C8" s="89" t="n">
        <x:f>$B$5/B8</x:f>
        <x:v>1.128500744160554</x:v>
      </x:c>
      <x:c r="D8" s="89" t="n">
        <x:f>'Raw Data'!E5</x:f>
        <x:v>1.4091409225560727</x:v>
      </x:c>
    </x:row>
  </x:sheetData>
  <x:mergeCells>
    <x:mergeCell ref="A1:D1"/>
    <x:mergeCell ref="A2:D2"/>
  </x:mergeCells>
  <x:pageMargins left="0.7" right="0.7" top="0.75" bottom="0.75" header="0.3" footer="0.3"/>
</x:worksheet>
</file>